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8280" activeTab="2"/>
  </bookViews>
  <sheets>
    <sheet name="Sheet1" sheetId="1" r:id="rId1"/>
    <sheet name="API's" sheetId="2" r:id="rId2"/>
    <sheet name="API's Pendi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<sst xmlns="http://schemas.openxmlformats.org/spreadsheetml/2006/main" count="413" uniqueCount="180">
  <si>
    <t>Command to connect localhost to internet URL</t>
  </si>
  <si>
    <t>lt --port 8080 --subdomain smarthealthcare</t>
  </si>
  <si>
    <t>tunnel password</t>
  </si>
  <si>
    <t>103.245.10.227</t>
  </si>
  <si>
    <t>url for localhost app</t>
  </si>
  <si>
    <t>https://smarthealthcare.loca.lt/</t>
  </si>
  <si>
    <t>Webhook secret key</t>
  </si>
  <si>
    <t>MY_SECRET_KEY_123456</t>
  </si>
  <si>
    <t>Module</t>
  </si>
  <si>
    <t>API Endpoint</t>
  </si>
  <si>
    <t>HTTP Method</t>
  </si>
  <si>
    <t>Parameters</t>
  </si>
  <si>
    <t>Authentication</t>
  </si>
  <si>
    <t>/auth/doctor/register</t>
  </si>
  <si>
    <t>POST</t>
  </si>
  <si>
    <t>Body: userName, userEmail, userPassword, role, firstName, lastName, licenseNumber, phone, specialization, qualifications, location, language, experience, availability, consultationFees, ratings, availabilityStarting, availabilityEnd</t>
  </si>
  <si>
    <t>/auth/patient/register</t>
  </si>
  <si>
    <t>Body: userName, userEmail, userPassword, role, firstName, lastName, dateOfBirth, gender, phoneNumber, address, emergencyPhoneNumber</t>
  </si>
  <si>
    <t>/auth/admin/register</t>
  </si>
  <si>
    <t>Body: userName, userEmail, userPassword, role, firstName, lastName, department, accessLevel</t>
  </si>
  <si>
    <t>/auth/login</t>
  </si>
  <si>
    <t>Body: userName, userPassword</t>
  </si>
  <si>
    <t>/auth/logout</t>
  </si>
  <si>
    <t>No parameters</t>
  </si>
  <si>
    <t>Doctor</t>
  </si>
  <si>
    <t>/doctor/all</t>
  </si>
  <si>
    <t>GET</t>
  </si>
  <si>
    <t>/doctor/{id}</t>
  </si>
  <si>
    <t>Path: id (Long)</t>
  </si>
  <si>
    <t>DELETE</t>
  </si>
  <si>
    <t>/doctor/search</t>
  </si>
  <si>
    <t>Body: specialization, location, language, minExperience, maxExperience</t>
  </si>
  <si>
    <t>/doctor/filter</t>
  </si>
  <si>
    <t>Body: availability, consultationFees, ratings</t>
  </si>
  <si>
    <t>/doctor/{doctorId}/schedule</t>
  </si>
  <si>
    <t>Path: doctorId (Long), Query: weekStart (yyyy-MM-dd)</t>
  </si>
  <si>
    <t>/doctor/availability</t>
  </si>
  <si>
    <t>Body: doctor (object reference), availableDate, startTime, endTime, isBooked (optional)</t>
  </si>
  <si>
    <t>/doctor/{doctorId}/availability</t>
  </si>
  <si>
    <t>Path: doctorId (Long)</t>
  </si>
  <si>
    <t>/doctor/{doctorId}/appointments</t>
  </si>
  <si>
    <t>Appointments</t>
  </si>
  <si>
    <t>/appointments/doctor</t>
  </si>
  <si>
    <t>Body: doctorId, patientId, availabilityId, appointmentDate, startTime, endTime, appointmentType, status, paymentStatus, consultationFee, symptoms, notes</t>
  </si>
  <si>
    <t>/appointments/patient</t>
  </si>
  <si>
    <t>Body: doctorId, patientId, availabilityId, appointmentDate, startTime, endTime, appointmentType, symptoms</t>
  </si>
  <si>
    <t>/appointments/cancel</t>
  </si>
  <si>
    <t>Body: appointmentId, cancellationReason, cancelledBy, cancelledAt</t>
  </si>
  <si>
    <t>Patient</t>
  </si>
  <si>
    <t>/patient/all</t>
  </si>
  <si>
    <t>/patient/{id}</t>
  </si>
  <si>
    <t>User</t>
  </si>
  <si>
    <t>/user/all</t>
  </si>
  <si>
    <t>/user/{id}</t>
  </si>
  <si>
    <t>Admin</t>
  </si>
  <si>
    <t>/admin/all</t>
  </si>
  <si>
    <t>/admin/{id}</t>
  </si>
  <si>
    <t>Medical Records</t>
  </si>
  <si>
    <t>/medical-records/upload/{patientId}</t>
  </si>
  <si>
    <t>Path: patientId (Long), Form-data: file (MultipartFile), notes (String, optional)</t>
  </si>
  <si>
    <t>/medical-records/patient/{patientId}</t>
  </si>
  <si>
    <t>Path: patientId (Long)</t>
  </si>
  <si>
    <r>
      <rPr>
        <sz val="11"/>
        <color theme="1"/>
        <rFont val="Calibri"/>
        <charset val="134"/>
        <scheme val="minor"/>
      </rPr>
      <t> </t>
    </r>
    <r>
      <rPr>
        <b/>
        <sz val="14.05"/>
        <color rgb="FF1F2937"/>
        <rFont val="Arial"/>
        <charset val="134"/>
      </rPr>
      <t>Summary Statistics</t>
    </r>
  </si>
  <si>
    <t>Total Endpoints</t>
  </si>
  <si>
    <t>POST Requests</t>
  </si>
  <si>
    <t>GET Requests</t>
  </si>
  <si>
    <t>DELETE Requests</t>
  </si>
  <si>
    <t>Endpoint</t>
  </si>
  <si>
    <t>Description</t>
  </si>
  <si>
    <t>Status</t>
  </si>
  <si>
    <t>Method</t>
  </si>
  <si>
    <t>Start Date</t>
  </si>
  <si>
    <t>Due Date</t>
  </si>
  <si>
    <t>Request Body / Parameters (Demo)</t>
  </si>
  <si>
    <t>/auth/refresh-token</t>
  </si>
  <si>
    <t>Generate new access token</t>
  </si>
  <si>
    <t>PENDING</t>
  </si>
  <si>
    <t/>
  </si>
  <si>
    <t>{"refreshToken":"xxxx"}</t>
  </si>
  <si>
    <t>/auth/change-password</t>
  </si>
  <si>
    <t>User changes password</t>
  </si>
  <si>
    <t>{"oldPassword":"", "newPassword":""}</t>
  </si>
  <si>
    <t>/auth/forgot-password</t>
  </si>
  <si>
    <t>Send OTP/link</t>
  </si>
  <si>
    <t>{"email":""}</t>
  </si>
  <si>
    <t>/auth/reset-password</t>
  </si>
  <si>
    <t>Reset password using OTP</t>
  </si>
  <si>
    <t>{"otp":"", "newPassword":""}</t>
  </si>
  <si>
    <t>/doctor/{doctorId}</t>
  </si>
  <si>
    <t>Update doctor profile</t>
  </si>
  <si>
    <t>PUT</t>
  </si>
  <si>
    <t>{"name":"", "specialization":"", "experience":""}</t>
  </si>
  <si>
    <t>/doctor/{doctorId}/schedule/{slotId}</t>
  </si>
  <si>
    <t>Update schedule slot</t>
  </si>
  <si>
    <t>{"startTime":"", "endTime":""}</t>
  </si>
  <si>
    <t>Delete schedule slot</t>
  </si>
  <si>
    <t>Path Variable: doctorId, slotId</t>
  </si>
  <si>
    <t>/doctor/{doctorId}/appointments/upcoming</t>
  </si>
  <si>
    <t>Get upcoming appointments</t>
  </si>
  <si>
    <t>Path Variable: doctorId</t>
  </si>
  <si>
    <t>/doctor/{doctorId}/appointments/past</t>
  </si>
  <si>
    <t>Get past appointments</t>
  </si>
  <si>
    <t>/doctor/{doctorId}/reviews</t>
  </si>
  <si>
    <t>Add review</t>
  </si>
  <si>
    <t>{"rating":5, "comment":""}</t>
  </si>
  <si>
    <t>Get reviews</t>
  </si>
  <si>
    <t>/patient/{patientId}</t>
  </si>
  <si>
    <t>Update patient info</t>
  </si>
  <si>
    <t>IN-Work</t>
  </si>
  <si>
    <t>{"name":"", "age":""}</t>
  </si>
  <si>
    <t>Delete patient</t>
  </si>
  <si>
    <t>Path Variable: patientId</t>
  </si>
  <si>
    <t>/patient/{patientId}/appointments</t>
  </si>
  <si>
    <t>Get appointment history</t>
  </si>
  <si>
    <t>/patient/{patientId}/doctors</t>
  </si>
  <si>
    <t>Get consulted doctors list</t>
  </si>
  <si>
    <t>/patient/{patientId}/medical-records</t>
  </si>
  <si>
    <t>Get medical record summary</t>
  </si>
  <si>
    <t>/appointments/book</t>
  </si>
  <si>
    <t>Book appointment</t>
  </si>
  <si>
    <t>{"doctorId":"", "patientId":"", "date":"", "time":""}</t>
  </si>
  <si>
    <t>/appointments/{appointmentId}/reschedule</t>
  </si>
  <si>
    <t>Reschedule appointment</t>
  </si>
  <si>
    <t>{"newDate":"", "newTime":""}</t>
  </si>
  <si>
    <t>/appointments/{appointmentId}/status</t>
  </si>
  <si>
    <t>Update appointment status</t>
  </si>
  <si>
    <t>{"status":"completed"}</t>
  </si>
  <si>
    <t>/appointments/{appointmentId}</t>
  </si>
  <si>
    <t>Get appointment details</t>
  </si>
  <si>
    <t>Path Variable: appointmentId</t>
  </si>
  <si>
    <t>/appointments/doctor/{doctorId}/calendar</t>
  </si>
  <si>
    <t>Doctor calendar view</t>
  </si>
  <si>
    <t>/appointments/patient/{patientId}/calendar</t>
  </si>
  <si>
    <t>Patient calendar view</t>
  </si>
  <si>
    <t>Update user profile</t>
  </si>
  <si>
    <t>{"name":"", "phone":""}</t>
  </si>
  <si>
    <t>Delete user</t>
  </si>
  <si>
    <t>Path Variable: id</t>
  </si>
  <si>
    <t>/user/{id}/role</t>
  </si>
  <si>
    <t>Change role</t>
  </si>
  <si>
    <t>{"role":"ADMIN"}</t>
  </si>
  <si>
    <t>/admin/create-user</t>
  </si>
  <si>
    <t>Create new system user</t>
  </si>
  <si>
    <t>{"name":"", "email":"", "role":""}</t>
  </si>
  <si>
    <t>Update admin</t>
  </si>
  <si>
    <t>{"name":"", "email":""}</t>
  </si>
  <si>
    <t>Delete admin</t>
  </si>
  <si>
    <t>/admin/analytics/overview</t>
  </si>
  <si>
    <t>System overview metrics</t>
  </si>
  <si>
    <t>/admin/analytics/appointments</t>
  </si>
  <si>
    <t>Appointment statistics</t>
  </si>
  <si>
    <t>/admin/analytics/doctor-performance</t>
  </si>
  <si>
    <t>Doctor performance metrics</t>
  </si>
  <si>
    <t>/medical-records/{recordId}</t>
  </si>
  <si>
    <t>Get medical record</t>
  </si>
  <si>
    <t>Path Variable: recordId</t>
  </si>
  <si>
    <t>Update medical record</t>
  </si>
  <si>
    <t>{"notes":"", "type":""}</t>
  </si>
  <si>
    <t>Delete medical record</t>
  </si>
  <si>
    <t>/medical-records/{patientId}/prescriptions</t>
  </si>
  <si>
    <t>Upload prescription</t>
  </si>
  <si>
    <t>{"file":"base64"}</t>
  </si>
  <si>
    <t>List prescriptions</t>
  </si>
  <si>
    <t>/medical-records/{patientId}/lab-reports</t>
  </si>
  <si>
    <t>Upload lab report</t>
  </si>
  <si>
    <t>List lab reports</t>
  </si>
  <si>
    <t>Notifications</t>
  </si>
  <si>
    <t>/notifications/send</t>
  </si>
  <si>
    <t>Send notification</t>
  </si>
  <si>
    <t>{"userId":"", "message":""}</t>
  </si>
  <si>
    <t>/notifications/user/{userId}</t>
  </si>
  <si>
    <t>Get notifications</t>
  </si>
  <si>
    <t>Path Variable: userId</t>
  </si>
  <si>
    <t>/notifications/settings/{userId}</t>
  </si>
  <si>
    <t>Update notification settings</t>
  </si>
  <si>
    <t>{"email":true, "sms":false}</t>
  </si>
  <si>
    <t>Count</t>
  </si>
  <si>
    <t>Pending</t>
  </si>
  <si>
    <t>In-Work</t>
  </si>
  <si>
    <t>Completed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</si>
</sst>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8">
    <font>
      <sz val="11"/>
      <color theme="1"/>
      <name val="Calibri"/>
      <charset val="134"/>
      <scheme val="minor"/>
    </font>
    <font>
      <b/>
      <sz val="11"/>
      <color rgb="FFFFFFFF"/>
      <name val="Calibri"/>
      <charset val="134"/>
      <scheme val="minor"/>
    </font>
    <font>
      <b/>
      <sz val="1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sz val="12"/>
      <color theme="1"/>
      <name val="Calibri"/>
      <charset val="134"/>
      <scheme val="minor"/>
    </font>
    <font>
      <sz val="14"/>
      <color theme="1"/>
      <name val="Mongolian Baiti"/>
      <charset val="134"/>
    </font>
    <font>
      <b/>
      <sz val="11"/>
      <color theme="1"/>
      <name val="Calibri"/>
      <charset val="134"/>
      <scheme val="minor"/>
    </font>
    <font>
      <sz val="14"/>
      <color rgb="FF000000"/>
      <name val="Times New Roma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4.05"/>
      <color rgb="FF1F2937"/>
      <name val="Arial"/>
      <charset val="134"/>
    </font>
  </fonts>
  <fills count="37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4F46E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/>
      <diagonal/>
    </border>
    <border>
      <left style="thin">
        <color rgb="FFAAAAAA"/>
      </left>
      <right style="thin">
        <color rgb="FFAAAAAA"/>
      </right>
      <top/>
      <bottom/>
      <diagonal/>
    </border>
    <border>
      <left style="thin">
        <color rgb="FFAAAAAA"/>
      </left>
      <right style="thin">
        <color rgb="FFAAAAAA"/>
      </right>
      <top/>
      <bottom style="thin">
        <color rgb="FFAAAAAA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6" borderId="10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11" applyNumberFormat="0" applyFill="0" applyAlignment="0" applyProtection="0">
      <alignment vertical="center"/>
    </xf>
    <xf numFmtId="0" fontId="14" fillId="0" borderId="11" applyNumberFormat="0" applyFill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7" borderId="13" applyNumberFormat="0" applyAlignment="0" applyProtection="0">
      <alignment vertical="center"/>
    </xf>
    <xf numFmtId="0" fontId="17" fillId="8" borderId="14" applyNumberFormat="0" applyAlignment="0" applyProtection="0">
      <alignment vertical="center"/>
    </xf>
    <xf numFmtId="0" fontId="18" fillId="8" borderId="13" applyNumberFormat="0" applyAlignment="0" applyProtection="0">
      <alignment vertical="center"/>
    </xf>
    <xf numFmtId="0" fontId="19" fillId="9" borderId="15" applyNumberFormat="0" applyAlignment="0" applyProtection="0">
      <alignment vertical="center"/>
    </xf>
    <xf numFmtId="0" fontId="20" fillId="0" borderId="16" applyNumberFormat="0" applyFill="0" applyAlignment="0" applyProtection="0">
      <alignment vertical="center"/>
    </xf>
    <xf numFmtId="0" fontId="21" fillId="0" borderId="17" applyNumberFormat="0" applyFill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horizontal="left" vertical="center" wrapText="1"/>
    </xf>
    <xf numFmtId="0" fontId="0" fillId="0" borderId="1" xfId="0" applyFont="1" applyFill="1" applyBorder="1" applyAlignment="1">
      <alignment horizontal="center" vertical="center" wrapText="1"/>
    </xf>
    <xf numFmtId="0" fontId="0" fillId="0" borderId="3" xfId="0" applyFont="1" applyFill="1" applyBorder="1" applyAlignment="1">
      <alignment horizontal="center" vertical="center" wrapText="1"/>
    </xf>
    <xf numFmtId="0" fontId="0" fillId="0" borderId="4" xfId="0" applyFont="1" applyFill="1" applyBorder="1" applyAlignment="1">
      <alignment horizontal="center" vertical="center" wrapText="1"/>
    </xf>
    <xf numFmtId="0" fontId="2" fillId="0" borderId="0" xfId="0" applyFont="1" applyFill="1" applyAlignment="1"/>
    <xf numFmtId="0" fontId="0" fillId="0" borderId="0" xfId="0" applyFont="1" applyFill="1" applyAlignment="1"/>
    <xf numFmtId="0" fontId="3" fillId="3" borderId="5" xfId="0" applyFont="1" applyFill="1" applyBorder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wrapText="1"/>
    </xf>
    <xf numFmtId="0" fontId="3" fillId="3" borderId="5" xfId="0" applyNumberFormat="1" applyFont="1" applyFill="1" applyBorder="1" applyAlignment="1">
      <alignment horizontal="center" vertical="center"/>
    </xf>
    <xf numFmtId="0" fontId="3" fillId="3" borderId="5" xfId="0" applyNumberFormat="1" applyFont="1" applyFill="1" applyBorder="1" applyAlignment="1">
      <alignment horizontal="center" vertical="center" wrapText="1"/>
    </xf>
    <xf numFmtId="0" fontId="3" fillId="3" borderId="6" xfId="0" applyFont="1" applyFill="1" applyBorder="1">
      <alignment vertical="center"/>
    </xf>
    <xf numFmtId="0" fontId="4" fillId="0" borderId="5" xfId="0" applyNumberFormat="1" applyFont="1" applyFill="1" applyBorder="1" applyAlignment="1">
      <alignment horizontal="center" vertical="center"/>
    </xf>
    <xf numFmtId="0" fontId="4" fillId="0" borderId="5" xfId="0" applyNumberFormat="1" applyFont="1" applyFill="1" applyBorder="1" applyAlignment="1">
      <alignment vertical="center"/>
    </xf>
    <xf numFmtId="0" fontId="4" fillId="0" borderId="5" xfId="0" applyNumberFormat="1" applyFont="1" applyFill="1" applyBorder="1" applyAlignment="1">
      <alignment horizontal="left" wrapText="1"/>
    </xf>
    <xf numFmtId="0" fontId="4" fillId="0" borderId="5" xfId="0" applyNumberFormat="1" applyFont="1" applyFill="1" applyBorder="1" applyAlignment="1">
      <alignment horizontal="center"/>
    </xf>
    <xf numFmtId="0" fontId="4" fillId="0" borderId="7" xfId="0" applyNumberFormat="1" applyFont="1" applyFill="1" applyBorder="1" applyAlignment="1">
      <alignment horizontal="center" vertical="center"/>
    </xf>
    <xf numFmtId="0" fontId="4" fillId="0" borderId="8" xfId="0" applyNumberFormat="1" applyFont="1" applyFill="1" applyBorder="1" applyAlignment="1">
      <alignment horizontal="center" vertical="center"/>
    </xf>
    <xf numFmtId="0" fontId="4" fillId="0" borderId="9" xfId="0" applyNumberFormat="1" applyFont="1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5" fillId="5" borderId="5" xfId="0" applyFont="1" applyFill="1" applyBorder="1">
      <alignment vertical="center"/>
    </xf>
    <xf numFmtId="0" fontId="6" fillId="0" borderId="5" xfId="0" applyFont="1" applyBorder="1" applyAlignment="1">
      <alignment horizontal="left" vertical="top"/>
    </xf>
    <xf numFmtId="0" fontId="6" fillId="0" borderId="0" xfId="0" applyFont="1">
      <alignment vertical="center"/>
    </xf>
    <xf numFmtId="0" fontId="7" fillId="0" borderId="0" xfId="0" applyFo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0">
    <dxf>
      <font>
        <b val="1"/>
        <i val="0"/>
        <strike val="0"/>
        <u val="none"/>
        <color rgb="FF1D4ED8"/>
      </font>
      <numFmt numFmtId="0" formatCode="General"/>
      <fill>
        <patternFill patternType="solid">
          <bgColor theme="4" tint="0.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1"/>
        <i val="0"/>
        <color rgb="FF065F46"/>
      </font>
      <fill>
        <patternFill patternType="solid">
          <bgColor rgb="FFD1FA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1"/>
        <i val="0"/>
        <color rgb="FF991B1B"/>
      </font>
      <fill>
        <patternFill patternType="solid"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colors>
    <mruColors>
      <color rgb="00B2EC0A"/>
      <color rgb="0093E312"/>
      <color rgb="00D1FAE5"/>
      <color rgb="00065F46"/>
      <color rgb="001D4ED8"/>
      <color rgb="00991B1B"/>
      <color rgb="00FEE2E2"/>
      <color rgb="004F46E5"/>
      <color rgb="00FF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'API''s Pending'!$B$46</c:f>
              <c:strCache>
                <c:ptCount val="1"/>
                <c:pt idx="0">
                  <c:v>Count</c:v>
                </c:pt>
              </c:strCache>
            </c:strRef>
          </c:tx>
          <c:spPr/>
          <c:explosion val="0"/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/>
            </c:spPr>
          </c:dPt>
          <c:dLbls>
            <c:delete val="1"/>
          </c:dLbls>
          <c:cat>
            <c:strRef>
              <c:f>'API''s Pending'!$A$47:$A$49</c:f>
              <c:strCache>
                <c:ptCount val="3"/>
                <c:pt idx="0">
                  <c:v>Pending</c:v>
                </c:pt>
                <c:pt idx="1">
                  <c:v>In-Work</c:v>
                </c:pt>
                <c:pt idx="2">
                  <c:v>Completed</c:v>
                </c:pt>
              </c:strCache>
            </c:strRef>
          </c:cat>
          <c:val>
            <c:numRef>
              <c:f>'API''s Pending'!$B$47:$B$49</c:f>
              <c:numCache>
                <c:formatCode>General</c:formatCode>
                <c:ptCount val="3"/>
                <c:pt idx="0">
                  <c:v>40</c:v>
                </c:pt>
                <c:pt idx="1">
                  <c:v>1</c:v>
                </c:pt>
                <c:pt idx="2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b567f7a2-c3b7-4457-8b0c-60487b40266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8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solidFill>
          <a:schemeClr val="bg1"/>
        </a:solidFill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6</xdr:col>
      <xdr:colOff>25400</xdr:colOff>
      <xdr:row>47</xdr:row>
      <xdr:rowOff>165100</xdr:rowOff>
    </xdr:from>
    <xdr:to>
      <xdr:col>8</xdr:col>
      <xdr:colOff>1889125</xdr:colOff>
      <xdr:row>62</xdr:row>
      <xdr:rowOff>50800</xdr:rowOff>
    </xdr:to>
    <xdr:graphicFrame>
      <xdr:nvGraphicFramePr>
        <xdr:cNvPr id="6" name="Chart 5"/>
        <xdr:cNvGraphicFramePr/>
      </xdr:nvGraphicFramePr>
      <xdr:xfrm>
        <a:off x="7647305" y="8760460"/>
        <a:ext cx="5547995" cy="26289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"/>
  <sheetViews>
    <sheetView workbookViewId="0">
      <selection activeCell="B9" sqref="B9"/>
    </sheetView>
  </sheetViews>
  <sheetFormatPr defaultColWidth="9.13888888888889" defaultRowHeight="14.4" outlineLevelRow="3" outlineLevelCol="1"/>
  <cols>
    <col min="1" max="1" width="46.4259259259259" customWidth="1"/>
    <col min="2" max="2" width="43.1388888888889" customWidth="1"/>
  </cols>
  <sheetData>
    <row r="1" spans="1:2">
      <c r="A1" t="s">
        <v>0</v>
      </c>
      <c r="B1" t="s">
        <v>1</v>
      </c>
    </row>
    <row r="2" ht="18" spans="1:2">
      <c r="A2" t="s">
        <v>2</v>
      </c>
      <c r="B2" s="27" t="s">
        <v>3</v>
      </c>
    </row>
    <row r="3" spans="1:2">
      <c r="A3" t="s">
        <v>4</v>
      </c>
      <c r="B3" t="s">
        <v>5</v>
      </c>
    </row>
    <row r="4" spans="1:2">
      <c r="A4" t="s">
        <v>6</v>
      </c>
      <c r="B4" t="s">
        <v>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8"/>
  <sheetViews>
    <sheetView topLeftCell="A3" workbookViewId="0">
      <selection activeCell="B19" sqref="B19"/>
    </sheetView>
  </sheetViews>
  <sheetFormatPr defaultColWidth="9.13888888888889" defaultRowHeight="14.4" outlineLevelCol="4"/>
  <cols>
    <col min="1" max="1" width="24.4259259259259" customWidth="1"/>
    <col min="2" max="2" width="38.4259259259259" style="11" customWidth="1"/>
    <col min="3" max="3" width="14.712962962963" style="1" customWidth="1"/>
    <col min="4" max="4" width="140.861111111111" style="12" customWidth="1"/>
  </cols>
  <sheetData>
    <row r="1" s="10" customFormat="1" ht="15.6" spans="1:5">
      <c r="A1" s="13" t="s">
        <v>8</v>
      </c>
      <c r="B1" s="13" t="s">
        <v>9</v>
      </c>
      <c r="C1" s="13" t="s">
        <v>10</v>
      </c>
      <c r="D1" s="14" t="s">
        <v>11</v>
      </c>
      <c r="E1" s="15"/>
    </row>
    <row r="2" ht="31.2" spans="1:4">
      <c r="A2" s="16" t="s">
        <v>12</v>
      </c>
      <c r="B2" s="17" t="s">
        <v>13</v>
      </c>
      <c r="C2" s="16" t="s">
        <v>14</v>
      </c>
      <c r="D2" s="18" t="s">
        <v>15</v>
      </c>
    </row>
    <row r="3" ht="15.6" spans="1:4">
      <c r="A3" s="16"/>
      <c r="B3" s="17" t="s">
        <v>16</v>
      </c>
      <c r="C3" s="19" t="s">
        <v>14</v>
      </c>
      <c r="D3" s="18" t="s">
        <v>17</v>
      </c>
    </row>
    <row r="4" ht="15.6" spans="1:4">
      <c r="A4" s="16"/>
      <c r="B4" s="17" t="s">
        <v>18</v>
      </c>
      <c r="C4" s="19" t="s">
        <v>14</v>
      </c>
      <c r="D4" s="18" t="s">
        <v>19</v>
      </c>
    </row>
    <row r="5" ht="15.6" spans="1:4">
      <c r="A5" s="16"/>
      <c r="B5" s="17" t="s">
        <v>20</v>
      </c>
      <c r="C5" s="19" t="s">
        <v>14</v>
      </c>
      <c r="D5" s="18" t="s">
        <v>21</v>
      </c>
    </row>
    <row r="6" ht="15.6" spans="1:4">
      <c r="A6" s="16"/>
      <c r="B6" s="17" t="s">
        <v>22</v>
      </c>
      <c r="C6" s="19" t="s">
        <v>14</v>
      </c>
      <c r="D6" s="18" t="s">
        <v>23</v>
      </c>
    </row>
    <row r="7" ht="15.6" spans="1:4">
      <c r="A7" s="16" t="s">
        <v>24</v>
      </c>
      <c r="B7" s="17" t="s">
        <v>25</v>
      </c>
      <c r="C7" s="19" t="s">
        <v>26</v>
      </c>
      <c r="D7" s="18" t="s">
        <v>23</v>
      </c>
    </row>
    <row r="8" ht="15.6" spans="1:4">
      <c r="A8" s="16"/>
      <c r="B8" s="17" t="s">
        <v>27</v>
      </c>
      <c r="C8" s="19" t="s">
        <v>26</v>
      </c>
      <c r="D8" s="18" t="s">
        <v>28</v>
      </c>
    </row>
    <row r="9" ht="15.6" spans="1:4">
      <c r="A9" s="16"/>
      <c r="B9" s="17" t="s">
        <v>27</v>
      </c>
      <c r="C9" s="19" t="s">
        <v>29</v>
      </c>
      <c r="D9" s="18" t="s">
        <v>28</v>
      </c>
    </row>
    <row r="10" ht="15.6" spans="1:4">
      <c r="A10" s="16"/>
      <c r="B10" s="17" t="s">
        <v>30</v>
      </c>
      <c r="C10" s="19" t="s">
        <v>14</v>
      </c>
      <c r="D10" s="18" t="s">
        <v>31</v>
      </c>
    </row>
    <row r="11" ht="15.6" spans="1:4">
      <c r="A11" s="16"/>
      <c r="B11" s="17" t="s">
        <v>32</v>
      </c>
      <c r="C11" s="19" t="s">
        <v>14</v>
      </c>
      <c r="D11" s="18" t="s">
        <v>33</v>
      </c>
    </row>
    <row r="12" ht="15.6" spans="1:4">
      <c r="A12" s="16"/>
      <c r="B12" s="17" t="s">
        <v>34</v>
      </c>
      <c r="C12" s="19" t="s">
        <v>26</v>
      </c>
      <c r="D12" s="18" t="s">
        <v>35</v>
      </c>
    </row>
    <row r="13" ht="15.6" spans="1:4">
      <c r="A13" s="16"/>
      <c r="B13" s="17" t="s">
        <v>36</v>
      </c>
      <c r="C13" s="19" t="s">
        <v>14</v>
      </c>
      <c r="D13" s="18" t="s">
        <v>37</v>
      </c>
    </row>
    <row r="14" ht="15.6" spans="1:4">
      <c r="A14" s="16"/>
      <c r="B14" s="17" t="s">
        <v>38</v>
      </c>
      <c r="C14" s="19" t="s">
        <v>26</v>
      </c>
      <c r="D14" s="18" t="s">
        <v>39</v>
      </c>
    </row>
    <row r="15" ht="15.6" spans="1:4">
      <c r="A15" s="16"/>
      <c r="B15" s="17" t="s">
        <v>40</v>
      </c>
      <c r="C15" s="19" t="s">
        <v>26</v>
      </c>
      <c r="D15" s="18" t="s">
        <v>39</v>
      </c>
    </row>
    <row r="16" ht="31.2" spans="1:4">
      <c r="A16" s="16" t="s">
        <v>41</v>
      </c>
      <c r="B16" s="17" t="s">
        <v>42</v>
      </c>
      <c r="C16" s="19" t="s">
        <v>14</v>
      </c>
      <c r="D16" s="18" t="s">
        <v>43</v>
      </c>
    </row>
    <row r="17" ht="15.6" spans="1:4">
      <c r="A17" s="16"/>
      <c r="B17" s="17" t="s">
        <v>44</v>
      </c>
      <c r="C17" s="19" t="s">
        <v>14</v>
      </c>
      <c r="D17" s="18" t="s">
        <v>45</v>
      </c>
    </row>
    <row r="18" ht="15.6" spans="1:4">
      <c r="A18" s="16"/>
      <c r="B18" s="17" t="s">
        <v>46</v>
      </c>
      <c r="C18" s="19" t="s">
        <v>14</v>
      </c>
      <c r="D18" s="18" t="s">
        <v>47</v>
      </c>
    </row>
    <row r="19" ht="15.6" spans="1:4">
      <c r="A19" s="16" t="s">
        <v>48</v>
      </c>
      <c r="B19" s="17" t="s">
        <v>49</v>
      </c>
      <c r="C19" s="19" t="s">
        <v>26</v>
      </c>
      <c r="D19" s="18" t="s">
        <v>23</v>
      </c>
    </row>
    <row r="20" ht="15.6" spans="1:4">
      <c r="A20" s="16" t="s">
        <v>48</v>
      </c>
      <c r="B20" s="17" t="s">
        <v>50</v>
      </c>
      <c r="C20" s="19" t="s">
        <v>29</v>
      </c>
      <c r="D20" s="18" t="s">
        <v>28</v>
      </c>
    </row>
    <row r="21" ht="15.6" spans="1:4">
      <c r="A21" s="16" t="s">
        <v>51</v>
      </c>
      <c r="B21" s="17" t="s">
        <v>52</v>
      </c>
      <c r="C21" s="19" t="s">
        <v>26</v>
      </c>
      <c r="D21" s="18" t="s">
        <v>23</v>
      </c>
    </row>
    <row r="22" ht="15.6" spans="1:4">
      <c r="A22" s="16" t="s">
        <v>51</v>
      </c>
      <c r="B22" s="17" t="s">
        <v>53</v>
      </c>
      <c r="C22" s="19" t="s">
        <v>29</v>
      </c>
      <c r="D22" s="18" t="s">
        <v>28</v>
      </c>
    </row>
    <row r="23" ht="15.6" spans="1:4">
      <c r="A23" s="20" t="s">
        <v>54</v>
      </c>
      <c r="B23" s="17" t="s">
        <v>55</v>
      </c>
      <c r="C23" s="19" t="s">
        <v>26</v>
      </c>
      <c r="D23" s="18" t="s">
        <v>23</v>
      </c>
    </row>
    <row r="24" ht="15.6" spans="1:4">
      <c r="A24" s="21"/>
      <c r="B24" s="17" t="s">
        <v>56</v>
      </c>
      <c r="C24" s="19" t="s">
        <v>29</v>
      </c>
      <c r="D24" s="18" t="s">
        <v>28</v>
      </c>
    </row>
    <row r="25" ht="15.6" spans="1:4">
      <c r="A25" s="22"/>
      <c r="B25" s="17" t="s">
        <v>56</v>
      </c>
      <c r="C25" s="19" t="s">
        <v>26</v>
      </c>
      <c r="D25" s="18" t="s">
        <v>28</v>
      </c>
    </row>
    <row r="26" ht="15.6" spans="1:4">
      <c r="A26" s="16" t="s">
        <v>57</v>
      </c>
      <c r="B26" s="17" t="s">
        <v>58</v>
      </c>
      <c r="C26" s="19" t="s">
        <v>14</v>
      </c>
      <c r="D26" s="18" t="s">
        <v>59</v>
      </c>
    </row>
    <row r="27" ht="15.6" spans="1:4">
      <c r="A27" s="16" t="s">
        <v>57</v>
      </c>
      <c r="B27" s="17" t="s">
        <v>60</v>
      </c>
      <c r="C27" s="19" t="s">
        <v>26</v>
      </c>
      <c r="D27" s="18" t="s">
        <v>61</v>
      </c>
    </row>
    <row r="34" ht="17.4" spans="1:2">
      <c r="A34" s="23" t="s">
        <v>62</v>
      </c>
      <c r="B34" s="23"/>
    </row>
    <row r="35" ht="17.4" spans="1:4">
      <c r="A35" s="24" t="s">
        <v>63</v>
      </c>
      <c r="B35" s="25">
        <f>COUNTA(B2:B27)</f>
        <v>26</v>
      </c>
      <c r="C35" s="26"/>
      <c r="D35"/>
    </row>
    <row r="36" ht="17.4" spans="1:4">
      <c r="A36" s="24" t="s">
        <v>64</v>
      </c>
      <c r="B36" s="25">
        <f>COUNTIF(C2:C28,"POST")</f>
        <v>12</v>
      </c>
      <c r="C36"/>
      <c r="D36"/>
    </row>
    <row r="37" ht="17.4" spans="1:2">
      <c r="A37" s="24" t="s">
        <v>65</v>
      </c>
      <c r="B37" s="25">
        <f>COUNTIF(C2:C27,"GET")</f>
        <v>10</v>
      </c>
    </row>
    <row r="38" ht="17.4" spans="1:2">
      <c r="A38" s="24" t="s">
        <v>66</v>
      </c>
      <c r="B38" s="25">
        <f>COUNTIF(C2:C28,"DELETE")</f>
        <v>4</v>
      </c>
    </row>
  </sheetData>
  <mergeCells count="8">
    <mergeCell ref="A34:B34"/>
    <mergeCell ref="A2:A6"/>
    <mergeCell ref="A7:A15"/>
    <mergeCell ref="A16:A18"/>
    <mergeCell ref="A19:A20"/>
    <mergeCell ref="A21:A22"/>
    <mergeCell ref="A23:A25"/>
    <mergeCell ref="A26:A27"/>
  </mergeCells>
  <conditionalFormatting sqref="C$1:C$1048576">
    <cfRule type="cellIs" dxfId="0" priority="3" stopIfTrue="1" operator="equal">
      <formula>"GET"</formula>
    </cfRule>
    <cfRule type="cellIs" dxfId="1" priority="2" stopIfTrue="1" operator="equal">
      <formula>"POST"</formula>
    </cfRule>
    <cfRule type="cellIs" dxfId="2" priority="1" operator="equal">
      <formula>"DELETE"</formula>
    </cfRule>
  </conditionalFormatting>
  <dataValidations count="1">
    <dataValidation type="list" allowBlank="1" showInputMessage="1" showErrorMessage="1" sqref="C1:C34 C37:C1048576">
      <formula1>"GET,PUT,POST,DELETE,PATCH"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9"/>
  <sheetViews>
    <sheetView tabSelected="1" topLeftCell="A4" workbookViewId="0">
      <selection activeCell="D13" sqref="D13"/>
    </sheetView>
  </sheetViews>
  <sheetFormatPr defaultColWidth="42.4259259259259" defaultRowHeight="14.4" outlineLevelCol="7"/>
  <cols>
    <col min="1" max="1" width="15.1388888888889" style="1" customWidth="1"/>
    <col min="2" max="2" width="40.287037037037" style="1" customWidth="1"/>
    <col min="3" max="3" width="26" style="1" customWidth="1"/>
    <col min="4" max="4" width="12.4259259259259" style="1" customWidth="1"/>
    <col min="5" max="5" width="7.86111111111111" style="1" customWidth="1"/>
    <col min="6" max="6" width="9.42592592592593" style="1" customWidth="1"/>
    <col min="7" max="7" width="8.86111111111111" style="1" customWidth="1"/>
    <col min="8" max="8" width="44.8611111111111" style="1" customWidth="1"/>
    <col min="10" max="16384" width="42.4259259259259" style="1" customWidth="1"/>
  </cols>
  <sheetData>
    <row r="1" spans="1:8">
      <c r="A1" s="2" t="s">
        <v>8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72</v>
      </c>
      <c r="H1" s="2" t="s">
        <v>73</v>
      </c>
    </row>
    <row r="2" spans="1:8">
      <c r="A2" s="3" t="s">
        <v>12</v>
      </c>
      <c r="B2" s="4" t="s">
        <v>74</v>
      </c>
      <c r="C2" s="4" t="s">
        <v>75</v>
      </c>
      <c r="D2" s="4" t="s">
        <v>76</v>
      </c>
      <c r="E2" s="5" t="s">
        <v>14</v>
      </c>
      <c r="F2" s="4" t="s">
        <v>77</v>
      </c>
      <c r="G2" s="4" t="s">
        <v>77</v>
      </c>
      <c r="H2" s="4" t="s">
        <v>78</v>
      </c>
    </row>
    <row r="3" spans="1:8">
      <c r="A3" s="6"/>
      <c r="B3" s="4" t="s">
        <v>79</v>
      </c>
      <c r="C3" s="4" t="s">
        <v>80</v>
      </c>
      <c r="D3" s="4" t="s">
        <v>76</v>
      </c>
      <c r="E3" s="5" t="s">
        <v>14</v>
      </c>
      <c r="F3" s="4" t="s">
        <v>77</v>
      </c>
      <c r="G3" s="4" t="s">
        <v>77</v>
      </c>
      <c r="H3" s="4" t="s">
        <v>81</v>
      </c>
    </row>
    <row r="4" spans="1:8">
      <c r="A4" s="6"/>
      <c r="B4" s="4" t="s">
        <v>82</v>
      </c>
      <c r="C4" s="4" t="s">
        <v>83</v>
      </c>
      <c r="D4" s="4" t="s">
        <v>76</v>
      </c>
      <c r="E4" s="5" t="s">
        <v>14</v>
      </c>
      <c r="F4" s="4" t="s">
        <v>77</v>
      </c>
      <c r="G4" s="4" t="s">
        <v>77</v>
      </c>
      <c r="H4" s="4" t="s">
        <v>84</v>
      </c>
    </row>
    <row r="5" spans="1:8">
      <c r="A5" s="7"/>
      <c r="B5" s="4" t="s">
        <v>85</v>
      </c>
      <c r="C5" s="4" t="s">
        <v>86</v>
      </c>
      <c r="D5" s="4" t="s">
        <v>76</v>
      </c>
      <c r="E5" s="5" t="s">
        <v>14</v>
      </c>
      <c r="F5" s="4" t="s">
        <v>77</v>
      </c>
      <c r="G5" s="4" t="s">
        <v>77</v>
      </c>
      <c r="H5" s="4" t="s">
        <v>87</v>
      </c>
    </row>
    <row r="6" spans="1:8">
      <c r="A6" s="3" t="s">
        <v>24</v>
      </c>
      <c r="B6" s="4" t="s">
        <v>88</v>
      </c>
      <c r="C6" s="4" t="s">
        <v>89</v>
      </c>
      <c r="D6" s="4" t="s">
        <v>76</v>
      </c>
      <c r="E6" s="5" t="s">
        <v>90</v>
      </c>
      <c r="F6" s="4" t="s">
        <v>77</v>
      </c>
      <c r="G6" s="4" t="s">
        <v>77</v>
      </c>
      <c r="H6" s="4" t="s">
        <v>91</v>
      </c>
    </row>
    <row r="7" spans="1:8">
      <c r="A7" s="6"/>
      <c r="B7" s="4" t="s">
        <v>92</v>
      </c>
      <c r="C7" s="4" t="s">
        <v>93</v>
      </c>
      <c r="D7" s="4" t="s">
        <v>76</v>
      </c>
      <c r="E7" s="5" t="s">
        <v>90</v>
      </c>
      <c r="F7" s="4" t="s">
        <v>77</v>
      </c>
      <c r="G7" s="4" t="s">
        <v>77</v>
      </c>
      <c r="H7" s="4" t="s">
        <v>94</v>
      </c>
    </row>
    <row r="8" spans="1:8">
      <c r="A8" s="6"/>
      <c r="B8" s="4" t="s">
        <v>92</v>
      </c>
      <c r="C8" s="4" t="s">
        <v>95</v>
      </c>
      <c r="D8" s="4" t="s">
        <v>76</v>
      </c>
      <c r="E8" s="5" t="s">
        <v>29</v>
      </c>
      <c r="F8" s="4" t="s">
        <v>77</v>
      </c>
      <c r="G8" s="4" t="s">
        <v>77</v>
      </c>
      <c r="H8" s="4" t="s">
        <v>96</v>
      </c>
    </row>
    <row r="9" spans="1:8">
      <c r="A9" s="6"/>
      <c r="B9" s="4" t="s">
        <v>97</v>
      </c>
      <c r="C9" s="4" t="s">
        <v>98</v>
      </c>
      <c r="D9" s="4" t="s">
        <v>76</v>
      </c>
      <c r="E9" s="5" t="s">
        <v>26</v>
      </c>
      <c r="F9" s="4" t="s">
        <v>77</v>
      </c>
      <c r="G9" s="4" t="s">
        <v>77</v>
      </c>
      <c r="H9" s="4" t="s">
        <v>99</v>
      </c>
    </row>
    <row r="10" spans="1:8">
      <c r="A10" s="6"/>
      <c r="B10" s="4" t="s">
        <v>100</v>
      </c>
      <c r="C10" s="4" t="s">
        <v>101</v>
      </c>
      <c r="D10" s="4" t="s">
        <v>76</v>
      </c>
      <c r="E10" s="5" t="s">
        <v>26</v>
      </c>
      <c r="F10" s="4" t="s">
        <v>77</v>
      </c>
      <c r="G10" s="4" t="s">
        <v>77</v>
      </c>
      <c r="H10" s="4" t="s">
        <v>99</v>
      </c>
    </row>
    <row r="11" spans="1:8">
      <c r="A11" s="6"/>
      <c r="B11" s="4" t="s">
        <v>102</v>
      </c>
      <c r="C11" s="4" t="s">
        <v>103</v>
      </c>
      <c r="D11" s="4" t="s">
        <v>76</v>
      </c>
      <c r="E11" s="5" t="s">
        <v>14</v>
      </c>
      <c r="F11" s="4" t="s">
        <v>77</v>
      </c>
      <c r="G11" s="4" t="s">
        <v>77</v>
      </c>
      <c r="H11" s="4" t="s">
        <v>104</v>
      </c>
    </row>
    <row r="12" spans="1:8">
      <c r="A12" s="6"/>
      <c r="B12" s="4" t="s">
        <v>102</v>
      </c>
      <c r="C12" s="4" t="s">
        <v>105</v>
      </c>
      <c r="D12" s="4" t="s">
        <v>76</v>
      </c>
      <c r="E12" s="5" t="s">
        <v>26</v>
      </c>
      <c r="F12" s="4" t="s">
        <v>77</v>
      </c>
      <c r="G12" s="4" t="s">
        <v>77</v>
      </c>
      <c r="H12" s="4" t="s">
        <v>99</v>
      </c>
    </row>
    <row r="13" spans="1:8">
      <c r="A13" s="3" t="s">
        <v>48</v>
      </c>
      <c r="B13" s="4" t="s">
        <v>106</v>
      </c>
      <c r="C13" s="4" t="s">
        <v>107</v>
      </c>
      <c r="D13" s="4" t="s">
        <v>108</v>
      </c>
      <c r="E13" s="5" t="s">
        <v>90</v>
      </c>
      <c r="F13" s="4" t="s">
        <v>77</v>
      </c>
      <c r="G13" s="4" t="s">
        <v>77</v>
      </c>
      <c r="H13" s="4" t="s">
        <v>109</v>
      </c>
    </row>
    <row r="14" spans="1:8">
      <c r="A14" s="6"/>
      <c r="B14" s="4" t="s">
        <v>106</v>
      </c>
      <c r="C14" s="4" t="s">
        <v>110</v>
      </c>
      <c r="D14" s="4" t="s">
        <v>76</v>
      </c>
      <c r="E14" s="5" t="s">
        <v>29</v>
      </c>
      <c r="F14" s="4" t="s">
        <v>77</v>
      </c>
      <c r="G14" s="4" t="s">
        <v>77</v>
      </c>
      <c r="H14" s="4" t="s">
        <v>111</v>
      </c>
    </row>
    <row r="15" spans="1:8">
      <c r="A15" s="6"/>
      <c r="B15" s="4" t="s">
        <v>112</v>
      </c>
      <c r="C15" s="4" t="s">
        <v>113</v>
      </c>
      <c r="D15" s="4" t="s">
        <v>76</v>
      </c>
      <c r="E15" s="5" t="s">
        <v>26</v>
      </c>
      <c r="F15" s="4" t="s">
        <v>77</v>
      </c>
      <c r="G15" s="4" t="s">
        <v>77</v>
      </c>
      <c r="H15" s="4" t="s">
        <v>111</v>
      </c>
    </row>
    <row r="16" spans="1:8">
      <c r="A16" s="6"/>
      <c r="B16" s="4" t="s">
        <v>114</v>
      </c>
      <c r="C16" s="4" t="s">
        <v>115</v>
      </c>
      <c r="D16" s="4" t="s">
        <v>76</v>
      </c>
      <c r="E16" s="5" t="s">
        <v>26</v>
      </c>
      <c r="F16" s="4" t="s">
        <v>77</v>
      </c>
      <c r="G16" s="4" t="s">
        <v>77</v>
      </c>
      <c r="H16" s="4" t="s">
        <v>111</v>
      </c>
    </row>
    <row r="17" spans="1:8">
      <c r="A17" s="7"/>
      <c r="B17" s="4" t="s">
        <v>116</v>
      </c>
      <c r="C17" s="4" t="s">
        <v>117</v>
      </c>
      <c r="D17" s="4" t="s">
        <v>76</v>
      </c>
      <c r="E17" s="5" t="s">
        <v>26</v>
      </c>
      <c r="F17" s="4" t="s">
        <v>77</v>
      </c>
      <c r="G17" s="4" t="s">
        <v>77</v>
      </c>
      <c r="H17" s="4" t="s">
        <v>111</v>
      </c>
    </row>
    <row r="18" spans="1:8">
      <c r="A18" s="3" t="s">
        <v>41</v>
      </c>
      <c r="B18" s="4" t="s">
        <v>118</v>
      </c>
      <c r="C18" s="4" t="s">
        <v>119</v>
      </c>
      <c r="D18" s="4" t="s">
        <v>76</v>
      </c>
      <c r="E18" s="5" t="s">
        <v>14</v>
      </c>
      <c r="F18" s="4" t="s">
        <v>77</v>
      </c>
      <c r="G18" s="4" t="s">
        <v>77</v>
      </c>
      <c r="H18" s="4" t="s">
        <v>120</v>
      </c>
    </row>
    <row r="19" spans="1:8">
      <c r="A19" s="6"/>
      <c r="B19" s="4" t="s">
        <v>121</v>
      </c>
      <c r="C19" s="4" t="s">
        <v>122</v>
      </c>
      <c r="D19" s="4" t="s">
        <v>76</v>
      </c>
      <c r="E19" s="5" t="s">
        <v>90</v>
      </c>
      <c r="F19" s="4" t="s">
        <v>77</v>
      </c>
      <c r="G19" s="4" t="s">
        <v>77</v>
      </c>
      <c r="H19" s="4" t="s">
        <v>123</v>
      </c>
    </row>
    <row r="20" spans="1:8">
      <c r="A20" s="6"/>
      <c r="B20" s="4" t="s">
        <v>124</v>
      </c>
      <c r="C20" s="4" t="s">
        <v>125</v>
      </c>
      <c r="D20" s="4" t="s">
        <v>76</v>
      </c>
      <c r="E20" s="5" t="s">
        <v>90</v>
      </c>
      <c r="F20" s="4" t="s">
        <v>77</v>
      </c>
      <c r="G20" s="4" t="s">
        <v>77</v>
      </c>
      <c r="H20" s="4" t="s">
        <v>126</v>
      </c>
    </row>
    <row r="21" spans="1:8">
      <c r="A21" s="6"/>
      <c r="B21" s="4" t="s">
        <v>127</v>
      </c>
      <c r="C21" s="4" t="s">
        <v>128</v>
      </c>
      <c r="D21" s="4" t="s">
        <v>76</v>
      </c>
      <c r="E21" s="5" t="s">
        <v>26</v>
      </c>
      <c r="F21" s="4" t="s">
        <v>77</v>
      </c>
      <c r="G21" s="4" t="s">
        <v>77</v>
      </c>
      <c r="H21" s="4" t="s">
        <v>129</v>
      </c>
    </row>
    <row r="22" spans="1:8">
      <c r="A22" s="6"/>
      <c r="B22" s="4" t="s">
        <v>130</v>
      </c>
      <c r="C22" s="4" t="s">
        <v>131</v>
      </c>
      <c r="D22" s="4" t="s">
        <v>76</v>
      </c>
      <c r="E22" s="5" t="s">
        <v>26</v>
      </c>
      <c r="F22" s="4" t="s">
        <v>77</v>
      </c>
      <c r="G22" s="4" t="s">
        <v>77</v>
      </c>
      <c r="H22" s="4" t="s">
        <v>99</v>
      </c>
    </row>
    <row r="23" spans="1:8">
      <c r="A23" s="7"/>
      <c r="B23" s="4" t="s">
        <v>132</v>
      </c>
      <c r="C23" s="4" t="s">
        <v>133</v>
      </c>
      <c r="D23" s="4" t="s">
        <v>76</v>
      </c>
      <c r="E23" s="5" t="s">
        <v>26</v>
      </c>
      <c r="F23" s="4" t="s">
        <v>77</v>
      </c>
      <c r="G23" s="4" t="s">
        <v>77</v>
      </c>
      <c r="H23" s="4" t="s">
        <v>111</v>
      </c>
    </row>
    <row r="24" spans="1:8">
      <c r="A24" s="3" t="s">
        <v>51</v>
      </c>
      <c r="B24" s="4" t="s">
        <v>53</v>
      </c>
      <c r="C24" s="4" t="s">
        <v>134</v>
      </c>
      <c r="D24" s="4" t="s">
        <v>76</v>
      </c>
      <c r="E24" s="5" t="s">
        <v>90</v>
      </c>
      <c r="F24" s="4" t="s">
        <v>77</v>
      </c>
      <c r="G24" s="4" t="s">
        <v>77</v>
      </c>
      <c r="H24" s="4" t="s">
        <v>135</v>
      </c>
    </row>
    <row r="25" spans="1:8">
      <c r="A25" s="6"/>
      <c r="B25" s="4" t="s">
        <v>53</v>
      </c>
      <c r="C25" s="4" t="s">
        <v>136</v>
      </c>
      <c r="D25" s="4" t="s">
        <v>76</v>
      </c>
      <c r="E25" s="5" t="s">
        <v>29</v>
      </c>
      <c r="F25" s="4" t="s">
        <v>77</v>
      </c>
      <c r="G25" s="4" t="s">
        <v>77</v>
      </c>
      <c r="H25" s="4" t="s">
        <v>137</v>
      </c>
    </row>
    <row r="26" spans="1:8">
      <c r="A26" s="7"/>
      <c r="B26" s="4" t="s">
        <v>138</v>
      </c>
      <c r="C26" s="4" t="s">
        <v>139</v>
      </c>
      <c r="D26" s="4" t="s">
        <v>76</v>
      </c>
      <c r="E26" s="5" t="s">
        <v>90</v>
      </c>
      <c r="F26" s="4" t="s">
        <v>77</v>
      </c>
      <c r="G26" s="4" t="s">
        <v>77</v>
      </c>
      <c r="H26" s="4" t="s">
        <v>140</v>
      </c>
    </row>
    <row r="27" spans="1:8">
      <c r="A27" s="3" t="s">
        <v>54</v>
      </c>
      <c r="B27" s="4" t="s">
        <v>141</v>
      </c>
      <c r="C27" s="4" t="s">
        <v>142</v>
      </c>
      <c r="D27" s="4" t="s">
        <v>76</v>
      </c>
      <c r="E27" s="5" t="s">
        <v>14</v>
      </c>
      <c r="F27" s="4" t="s">
        <v>77</v>
      </c>
      <c r="G27" s="4" t="s">
        <v>77</v>
      </c>
      <c r="H27" s="4" t="s">
        <v>143</v>
      </c>
    </row>
    <row r="28" spans="1:8">
      <c r="A28" s="6"/>
      <c r="B28" s="4" t="s">
        <v>56</v>
      </c>
      <c r="C28" s="4" t="s">
        <v>144</v>
      </c>
      <c r="D28" s="4" t="s">
        <v>76</v>
      </c>
      <c r="E28" s="5" t="s">
        <v>90</v>
      </c>
      <c r="F28" s="4" t="s">
        <v>77</v>
      </c>
      <c r="G28" s="4" t="s">
        <v>77</v>
      </c>
      <c r="H28" s="4" t="s">
        <v>145</v>
      </c>
    </row>
    <row r="29" spans="1:8">
      <c r="A29" s="6"/>
      <c r="B29" s="4" t="s">
        <v>56</v>
      </c>
      <c r="C29" s="4" t="s">
        <v>146</v>
      </c>
      <c r="D29" s="4" t="s">
        <v>76</v>
      </c>
      <c r="E29" s="5" t="s">
        <v>29</v>
      </c>
      <c r="F29" s="4" t="s">
        <v>77</v>
      </c>
      <c r="G29" s="4" t="s">
        <v>77</v>
      </c>
      <c r="H29" s="4" t="s">
        <v>137</v>
      </c>
    </row>
    <row r="30" spans="1:8">
      <c r="A30" s="6"/>
      <c r="B30" s="4" t="s">
        <v>147</v>
      </c>
      <c r="C30" s="4" t="s">
        <v>148</v>
      </c>
      <c r="D30" s="4" t="s">
        <v>76</v>
      </c>
      <c r="E30" s="5" t="s">
        <v>26</v>
      </c>
      <c r="F30" s="4" t="s">
        <v>77</v>
      </c>
      <c r="G30" s="4" t="s">
        <v>77</v>
      </c>
      <c r="H30" s="4" t="s">
        <v>77</v>
      </c>
    </row>
    <row r="31" spans="1:8">
      <c r="A31" s="6"/>
      <c r="B31" s="4" t="s">
        <v>149</v>
      </c>
      <c r="C31" s="4" t="s">
        <v>150</v>
      </c>
      <c r="D31" s="4" t="s">
        <v>76</v>
      </c>
      <c r="E31" s="5" t="s">
        <v>26</v>
      </c>
      <c r="F31" s="4" t="s">
        <v>77</v>
      </c>
      <c r="G31" s="4" t="s">
        <v>77</v>
      </c>
      <c r="H31" s="4" t="s">
        <v>77</v>
      </c>
    </row>
    <row r="32" spans="1:8">
      <c r="A32" s="7"/>
      <c r="B32" s="4" t="s">
        <v>151</v>
      </c>
      <c r="C32" s="4" t="s">
        <v>152</v>
      </c>
      <c r="D32" s="4" t="s">
        <v>76</v>
      </c>
      <c r="E32" s="5" t="s">
        <v>26</v>
      </c>
      <c r="F32" s="4" t="s">
        <v>77</v>
      </c>
      <c r="G32" s="4" t="s">
        <v>77</v>
      </c>
      <c r="H32" s="4" t="s">
        <v>77</v>
      </c>
    </row>
    <row r="33" spans="1:8">
      <c r="A33" s="3" t="s">
        <v>57</v>
      </c>
      <c r="B33" s="4" t="s">
        <v>153</v>
      </c>
      <c r="C33" s="4" t="s">
        <v>154</v>
      </c>
      <c r="D33" s="4" t="s">
        <v>76</v>
      </c>
      <c r="E33" s="5" t="s">
        <v>26</v>
      </c>
      <c r="F33" s="4" t="s">
        <v>77</v>
      </c>
      <c r="G33" s="4" t="s">
        <v>77</v>
      </c>
      <c r="H33" s="4" t="s">
        <v>155</v>
      </c>
    </row>
    <row r="34" spans="1:8">
      <c r="A34" s="6"/>
      <c r="B34" s="4" t="s">
        <v>153</v>
      </c>
      <c r="C34" s="4" t="s">
        <v>156</v>
      </c>
      <c r="D34" s="4" t="s">
        <v>76</v>
      </c>
      <c r="E34" s="5" t="s">
        <v>90</v>
      </c>
      <c r="F34" s="4" t="s">
        <v>77</v>
      </c>
      <c r="G34" s="4" t="s">
        <v>77</v>
      </c>
      <c r="H34" s="4" t="s">
        <v>157</v>
      </c>
    </row>
    <row r="35" spans="1:8">
      <c r="A35" s="6"/>
      <c r="B35" s="4" t="s">
        <v>153</v>
      </c>
      <c r="C35" s="4" t="s">
        <v>158</v>
      </c>
      <c r="D35" s="4" t="s">
        <v>76</v>
      </c>
      <c r="E35" s="5" t="s">
        <v>29</v>
      </c>
      <c r="F35" s="4" t="s">
        <v>77</v>
      </c>
      <c r="G35" s="4" t="s">
        <v>77</v>
      </c>
      <c r="H35" s="4" t="s">
        <v>155</v>
      </c>
    </row>
    <row r="36" spans="1:8">
      <c r="A36" s="6"/>
      <c r="B36" s="4" t="s">
        <v>159</v>
      </c>
      <c r="C36" s="4" t="s">
        <v>160</v>
      </c>
      <c r="D36" s="4" t="s">
        <v>76</v>
      </c>
      <c r="E36" s="5" t="s">
        <v>14</v>
      </c>
      <c r="F36" s="4" t="s">
        <v>77</v>
      </c>
      <c r="G36" s="4" t="s">
        <v>77</v>
      </c>
      <c r="H36" s="4" t="s">
        <v>161</v>
      </c>
    </row>
    <row r="37" spans="1:8">
      <c r="A37" s="6"/>
      <c r="B37" s="4" t="s">
        <v>159</v>
      </c>
      <c r="C37" s="4" t="s">
        <v>162</v>
      </c>
      <c r="D37" s="4" t="s">
        <v>76</v>
      </c>
      <c r="E37" s="5" t="s">
        <v>26</v>
      </c>
      <c r="F37" s="4" t="s">
        <v>77</v>
      </c>
      <c r="G37" s="4" t="s">
        <v>77</v>
      </c>
      <c r="H37" s="4" t="s">
        <v>111</v>
      </c>
    </row>
    <row r="38" spans="1:8">
      <c r="A38" s="6"/>
      <c r="B38" s="4" t="s">
        <v>163</v>
      </c>
      <c r="C38" s="4" t="s">
        <v>164</v>
      </c>
      <c r="D38" s="4" t="s">
        <v>76</v>
      </c>
      <c r="E38" s="5" t="s">
        <v>14</v>
      </c>
      <c r="F38" s="4" t="s">
        <v>77</v>
      </c>
      <c r="G38" s="4" t="s">
        <v>77</v>
      </c>
      <c r="H38" s="4" t="s">
        <v>161</v>
      </c>
    </row>
    <row r="39" spans="1:8">
      <c r="A39" s="7"/>
      <c r="B39" s="4" t="s">
        <v>163</v>
      </c>
      <c r="C39" s="4" t="s">
        <v>165</v>
      </c>
      <c r="D39" s="4" t="s">
        <v>76</v>
      </c>
      <c r="E39" s="5" t="s">
        <v>26</v>
      </c>
      <c r="F39" s="4" t="s">
        <v>77</v>
      </c>
      <c r="G39" s="4" t="s">
        <v>77</v>
      </c>
      <c r="H39" s="4" t="s">
        <v>111</v>
      </c>
    </row>
    <row r="40" spans="1:8">
      <c r="A40" s="3" t="s">
        <v>166</v>
      </c>
      <c r="B40" s="4" t="s">
        <v>167</v>
      </c>
      <c r="C40" s="4" t="s">
        <v>168</v>
      </c>
      <c r="D40" s="4" t="s">
        <v>76</v>
      </c>
      <c r="E40" s="5" t="s">
        <v>14</v>
      </c>
      <c r="F40" s="4" t="s">
        <v>77</v>
      </c>
      <c r="G40" s="4" t="s">
        <v>77</v>
      </c>
      <c r="H40" s="4" t="s">
        <v>169</v>
      </c>
    </row>
    <row r="41" spans="1:8">
      <c r="A41" s="6"/>
      <c r="B41" s="4" t="s">
        <v>170</v>
      </c>
      <c r="C41" s="4" t="s">
        <v>171</v>
      </c>
      <c r="D41" s="4" t="s">
        <v>76</v>
      </c>
      <c r="E41" s="5" t="s">
        <v>26</v>
      </c>
      <c r="F41" s="4" t="s">
        <v>77</v>
      </c>
      <c r="G41" s="4" t="s">
        <v>77</v>
      </c>
      <c r="H41" s="4" t="s">
        <v>172</v>
      </c>
    </row>
    <row r="42" spans="1:8">
      <c r="A42" s="7"/>
      <c r="B42" s="4" t="s">
        <v>173</v>
      </c>
      <c r="C42" s="4" t="s">
        <v>174</v>
      </c>
      <c r="D42" s="4" t="s">
        <v>76</v>
      </c>
      <c r="E42" s="5" t="s">
        <v>90</v>
      </c>
      <c r="F42" s="4" t="s">
        <v>77</v>
      </c>
      <c r="G42" s="4" t="s">
        <v>77</v>
      </c>
      <c r="H42" s="4" t="s">
        <v>175</v>
      </c>
    </row>
    <row r="46" spans="1:2">
      <c r="A46" s="8" t="s">
        <v>69</v>
      </c>
      <c r="B46" s="8" t="s">
        <v>176</v>
      </c>
    </row>
    <row r="47" spans="1:2">
      <c r="A47" s="9" t="s">
        <v>177</v>
      </c>
      <c r="B47" s="9">
        <f>COUNTIF(D2:D42,"PENDING")</f>
        <v>40</v>
      </c>
    </row>
    <row r="48" spans="1:2">
      <c r="A48" s="9" t="s">
        <v>178</v>
      </c>
      <c r="B48" s="9">
        <f>COUNTIF(D2:D42,"IN-WORK")</f>
        <v>1</v>
      </c>
    </row>
    <row r="49" spans="1:2">
      <c r="A49" s="9" t="s">
        <v>179</v>
      </c>
      <c r="B49" s="9">
        <f>COUNTIF(D2:D42,"COMPLETED")</f>
        <v>0</v>
      </c>
    </row>
  </sheetData>
  <mergeCells count="8">
    <mergeCell ref="A2:A5"/>
    <mergeCell ref="A6:A12"/>
    <mergeCell ref="A13:A17"/>
    <mergeCell ref="A18:A23"/>
    <mergeCell ref="A24:A26"/>
    <mergeCell ref="A27:A32"/>
    <mergeCell ref="A33:A39"/>
    <mergeCell ref="A40:A42"/>
  </mergeCells>
  <dataValidations count="2">
    <dataValidation type="list" allowBlank="1" showInputMessage="1" showErrorMessage="1" sqref="D$1:D$1048576">
      <formula1>"PENDING,IN-Work,COMPLETED"</formula1>
    </dataValidation>
    <dataValidation type="list" allowBlank="1" showInputMessage="1" showErrorMessage="1" sqref="E$1:E$1048576">
      <formula1>"GET,PUT,POST,PATCH,DELETE"</formula1>
    </dataValidation>
  </dataValidation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API's</vt:lpstr>
      <vt:lpstr>API's Pending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prash</dc:creator>
  <cp:lastModifiedBy>Prashant Nagar</cp:lastModifiedBy>
  <dcterms:created xsi:type="dcterms:W3CDTF">2025-11-11T10:09:00Z</dcterms:created>
  <dcterms:modified xsi:type="dcterms:W3CDTF">2026-01-12T05:31:46Z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D66065702D90419EB284BB347CBC7F05_11</vt:lpwstr>
  </property>
  <property fmtid="{D5CDD505-2E9C-101B-9397-08002B2CF9AE}" pid="3" name="KSOProductBuildVer">
    <vt:lpwstr>1033-12.2.0.23196</vt:lpwstr>
  </property>
</Properties>
</file>